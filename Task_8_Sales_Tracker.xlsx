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Raw Data" sheetId="1" r:id="rId1"/>
    <sheet name="Summary" sheetId="2" r:id="rId2"/>
  </sheets>
  <definedNames>
    <definedName name="_xlnm._FilterDatabase" localSheetId="0" hidden="1">'Raw Data'!$A$1:$E$11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<sst xmlns="http://schemas.openxmlformats.org/spreadsheetml/2006/main" count="38" uniqueCount="23">
  <si>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Date</t>
  </si>
  <si>
    <t>Product</t>
  </si>
  <si>
    <t>Quantity</t>
  </si>
  <si>
    <t>Unit Price</t>
  </si>
  <si>
    <t>Total Sales</t>
  </si>
  <si>
    <t>01/09/2026</t>
  </si>
  <si>
    <t>Laptop</t>
  </si>
  <si>
    <t>Mouse</t>
  </si>
  <si>
    <t>02/09/2026</t>
  </si>
  <si>
    <t>Keyboard</t>
  </si>
  <si>
    <t>03/09/2026</t>
  </si>
  <si>
    <t>Monitor</t>
  </si>
  <si>
    <t>04/09/2026</t>
  </si>
  <si>
    <t>05/09/2026</t>
  </si>
  <si>
    <t>06/09/2026</t>
  </si>
  <si>
    <t>07/09/2026</t>
  </si>
  <si>
    <t>08/09/2026</t>
  </si>
  <si>
    <t>SALES TRACKER SUMMARY</t>
  </si>
  <si>
    <t>Selected Date</t>
  </si>
  <si>
    <t>Daily Total</t>
  </si>
  <si>
    <t>Weekly Total</t>
  </si>
  <si>
    <t>Monthly Total</t>
  </si>
  <si>
    <t>Overall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</si>
</sst>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&quot;₹&quot;#,##0"/>
  </numFmts>
  <fonts count="23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78" fontId="0" fillId="0" borderId="1" xfId="0" applyNumberFormat="1" applyBorder="1"/>
    <xf numFmtId="0" fontId="2" fillId="2" borderId="0" xfId="0" applyFont="1" applyFill="1"/>
    <xf numFmtId="179" fontId="0" fillId="0" borderId="1" xfId="0" applyNumberFormat="1" applyBorder="1"/>
    <xf numFmtId="179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Product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Summary!$E$2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Summary!$D$3:$D$6</c:f>
              <c:strCache>
                <c:ptCount val="4"/>
                <c:pt idx="0">
                  <c:v>Laptop</c:v>
                </c:pt>
                <c:pt idx="1">
                  <c:v>Mouse</c:v>
                </c:pt>
                <c:pt idx="2">
                  <c:v>Keyboard</c:v>
                </c:pt>
                <c:pt idx="3">
                  <c:v>Monitor</c:v>
                </c:pt>
              </c:strCache>
            </c:strRef>
          </c:cat>
          <c:val>
            <c:numRef>
              <c:f>Summary!$E$3:$E$6</c:f>
              <c:numCache>
                <c:formatCode>"₹"#,##0</c:formatCode>
                <c:ptCount val="4"/>
                <c:pt idx="0">
                  <c:v>200000</c:v>
                </c:pt>
                <c:pt idx="1">
                  <c:v>18400</c:v>
                </c:pt>
                <c:pt idx="2">
                  <c:v>12000</c:v>
                </c:pt>
                <c:pt idx="3">
                  <c:v>60000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Sales (₹)</a:t>
                </a:r>
              </a:p>
            </c:rich>
          </c:tx>
          <c:layout/>
          <c:overlay val="0"/>
        </c:title>
        <c:numFmt formatCode="&quot;₹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6f232b-e5fa-4881-8b9a-e5c0a7b9d5d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7</xdr:row>
      <xdr:rowOff>0</xdr:rowOff>
    </xdr:from>
    <xdr:ext cx="4320000" cy="2420940"/>
    <xdr:graphicFrame>
      <xdr:nvGraphicFramePr>
        <xdr:cNvPr id="2" name="Chart 1"/>
        <xdr:cNvGraphicFramePr/>
      </xdr:nvGraphicFramePr>
      <xdr:xfrm>
        <a:off x="3497580" y="136398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4" customWidth="1"/>
    <col min="2" max="2" width="16" customWidth="1"/>
    <col min="3" max="3" width="12" customWidth="1"/>
    <col min="4" max="4" width="15" customWidth="1"/>
    <col min="5" max="5" width="16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>
      <c r="A2" s="4" t="s">
        <v>5</v>
      </c>
      <c r="B2" s="2" t="s">
        <v>6</v>
      </c>
      <c r="C2" s="2">
        <v>2</v>
      </c>
      <c r="D2" s="6">
        <v>50000</v>
      </c>
      <c r="E2" s="6">
        <f t="shared" ref="E2:E11" si="0">C2*D2</f>
        <v>100000</v>
      </c>
    </row>
    <row r="3" spans="1:5">
      <c r="A3" s="4" t="s">
        <v>5</v>
      </c>
      <c r="B3" s="2" t="s">
        <v>7</v>
      </c>
      <c r="C3" s="2">
        <v>5</v>
      </c>
      <c r="D3" s="6">
        <v>800</v>
      </c>
      <c r="E3" s="6">
        <f t="shared" si="0"/>
        <v>4000</v>
      </c>
    </row>
    <row r="4" spans="1:5">
      <c r="A4" s="4" t="s">
        <v>8</v>
      </c>
      <c r="B4" s="2" t="s">
        <v>9</v>
      </c>
      <c r="C4" s="2">
        <v>3</v>
      </c>
      <c r="D4" s="6">
        <v>1500</v>
      </c>
      <c r="E4" s="6">
        <f t="shared" si="0"/>
        <v>4500</v>
      </c>
    </row>
    <row r="5" spans="1:5">
      <c r="A5" s="4" t="s">
        <v>8</v>
      </c>
      <c r="B5" s="2" t="s">
        <v>6</v>
      </c>
      <c r="C5" s="2">
        <v>1</v>
      </c>
      <c r="D5" s="6">
        <v>50000</v>
      </c>
      <c r="E5" s="6">
        <f t="shared" si="0"/>
        <v>50000</v>
      </c>
    </row>
    <row r="6" spans="1:5">
      <c r="A6" s="4" t="s">
        <v>10</v>
      </c>
      <c r="B6" s="2" t="s">
        <v>11</v>
      </c>
      <c r="C6" s="2">
        <v>2</v>
      </c>
      <c r="D6" s="6">
        <v>12000</v>
      </c>
      <c r="E6" s="6">
        <f t="shared" si="0"/>
        <v>24000</v>
      </c>
    </row>
    <row r="7" spans="1:5">
      <c r="A7" s="4" t="s">
        <v>12</v>
      </c>
      <c r="B7" s="2" t="s">
        <v>7</v>
      </c>
      <c r="C7" s="2">
        <v>10</v>
      </c>
      <c r="D7" s="6">
        <v>800</v>
      </c>
      <c r="E7" s="6">
        <f t="shared" si="0"/>
        <v>8000</v>
      </c>
    </row>
    <row r="8" spans="1:5">
      <c r="A8" s="4" t="s">
        <v>13</v>
      </c>
      <c r="B8" s="2" t="s">
        <v>9</v>
      </c>
      <c r="C8" s="2">
        <v>5</v>
      </c>
      <c r="D8" s="6">
        <v>1500</v>
      </c>
      <c r="E8" s="6">
        <f t="shared" si="0"/>
        <v>7500</v>
      </c>
    </row>
    <row r="9" spans="1:5">
      <c r="A9" s="4" t="s">
        <v>14</v>
      </c>
      <c r="B9" s="2" t="s">
        <v>6</v>
      </c>
      <c r="C9" s="2">
        <v>1</v>
      </c>
      <c r="D9" s="6">
        <v>50000</v>
      </c>
      <c r="E9" s="6">
        <f t="shared" si="0"/>
        <v>50000</v>
      </c>
    </row>
    <row r="10" spans="1:5">
      <c r="A10" s="4" t="s">
        <v>15</v>
      </c>
      <c r="B10" s="2" t="s">
        <v>11</v>
      </c>
      <c r="C10" s="2">
        <v>3</v>
      </c>
      <c r="D10" s="6">
        <v>12000</v>
      </c>
      <c r="E10" s="6">
        <f t="shared" si="0"/>
        <v>36000</v>
      </c>
    </row>
    <row r="11" spans="1:5">
      <c r="A11" s="4" t="s">
        <v>16</v>
      </c>
      <c r="B11" s="2" t="s">
        <v>7</v>
      </c>
      <c r="C11" s="2">
        <v>8</v>
      </c>
      <c r="D11" s="6">
        <v>800</v>
      </c>
      <c r="E11" s="6">
        <f t="shared" si="0"/>
        <v>6400</v>
      </c>
    </row>
  </sheetData>
  <autoFilter xmlns:etc="http://www.wps.cn/officeDocument/2017/etCustomData" ref="A1:E11" etc:filterBottomFollowUsedRange="0">
    <extLst/>
  </autoFilter>
  <dataValidations count="3">
    <dataValidation type="list" allowBlank="1" error="Select a valid product from the dropdown." sqref="B2:B1000">
      <formula1>"Laptop,Mouse,Keyboard,Monitor"</formula1>
    </dataValidation>
    <dataValidation type="whole" operator="greaterThan" allowBlank="1" error="Quantity must be greater than 0." sqref="C2:C1000">
      <formula1>0</formula1>
    </dataValidation>
    <dataValidation type="decimal" operator="greaterThan" allowBlank="1" error="Unit Price must be greater than 0." sqref="D2:D1000">
      <formula1>0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1" sqref="A1:B1"/>
    </sheetView>
  </sheetViews>
  <sheetFormatPr defaultColWidth="9" defaultRowHeight="14.4" outlineLevelRow="5" outlineLevelCol="4"/>
  <cols>
    <col min="1" max="1" width="22" customWidth="1"/>
    <col min="2" max="2" width="20" customWidth="1"/>
  </cols>
  <sheetData>
    <row r="1" ht="21" spans="1:5">
      <c r="A1" s="1" t="s">
        <v>17</v>
      </c>
      <c r="B1" s="2"/>
    </row>
    <row r="2" spans="1:5">
      <c r="A2" s="3" t="s">
        <v>18</v>
      </c>
      <c r="B2" s="4" t="s">
        <v>5</v>
      </c>
      <c r="D2" s="5" t="s">
        <v>1</v>
      </c>
      <c r="E2" s="5" t="s">
        <v>4</v>
      </c>
    </row>
    <row r="3" spans="1:5">
      <c r="A3" s="3" t="s">
        <v>19</v>
      </c>
      <c r="B3" s="6">
        <f>SUMIFS('Raw Data'!E:E,'Raw Data'!A:A,B2)</f>
        <v>104000</v>
      </c>
      <c r="D3" t="s">
        <v>6</v>
      </c>
      <c r="E3" s="7">
        <f>SUMIF('Raw Data'!B:B,D3,'Raw Data'!E:E)</f>
        <v>200000</v>
      </c>
    </row>
    <row r="4" spans="1:5">
      <c r="A4" s="3" t="s">
        <v>20</v>
      </c>
      <c r="B4" s="6">
        <f>SUMIFS('Raw Data'!E:E,'Raw Data'!A:A,"&gt;="&amp;B2-WEEKDAY(B2,2)+1,'Raw Data'!A:A,"&lt;="&amp;B2-WEEKDAY(B2,2)+7)</f>
        <v>0</v>
      </c>
      <c r="D4" t="s">
        <v>7</v>
      </c>
      <c r="E4" s="7">
        <f>SUMIF('Raw Data'!B:B,D4,'Raw Data'!E:E)</f>
        <v>18400</v>
      </c>
    </row>
    <row r="5" spans="1:5">
      <c r="A5" s="3" t="s">
        <v>21</v>
      </c>
      <c r="B5" s="6">
        <f>SUMIFS('Raw Data'!E:E,'Raw Data'!A:A,"&gt;="&amp;EOMONTH(B2,-1)+1,'Raw Data'!A:A,"&lt;="&amp;EOMONTH(B2,0))</f>
        <v>0</v>
      </c>
      <c r="D5" t="s">
        <v>9</v>
      </c>
      <c r="E5" s="7">
        <f>SUMIF('Raw Data'!B:B,D5,'Raw Data'!E:E)</f>
        <v>12000</v>
      </c>
    </row>
    <row r="6" spans="1:5">
      <c r="A6" s="3" t="s">
        <v>22</v>
      </c>
      <c r="B6" s="6">
        <f>SUM('Raw Data'!E:E)</f>
        <v>290400</v>
      </c>
      <c r="D6" t="s">
        <v>11</v>
      </c>
      <c r="E6" s="7">
        <f>SUMIF('Raw Data'!B:B,D6,'Raw Data'!E:E)</f>
        <v>60000</v>
      </c>
    </row>
  </sheetData>
  <mergeCells count="1">
    <mergeCell ref="A1:B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Chandana Reddy</cp:lastModifiedBy>
  <dcterms:created xsi:type="dcterms:W3CDTF">2026-09-15T03:50:00Z</dcterms:created>
  <dcterms:modified xsi:type="dcterms:W3CDTF">2026-09-15T04:15:25Z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8A5F6C5C8781483BB3FA21B581F56914_12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